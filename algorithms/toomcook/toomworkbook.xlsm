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hbub/Documents/"/>
    </mc:Choice>
  </mc:AlternateContent>
  <xr:revisionPtr revIDLastSave="0" documentId="13_ncr:1_{3B862DF4-08F6-E74B-A2A8-AF58A66163C7}" xr6:coauthVersionLast="43" xr6:coauthVersionMax="43" xr10:uidLastSave="{00000000-0000-0000-0000-000000000000}"/>
  <bookViews>
    <workbookView xWindow="-38400" yWindow="460" windowWidth="38400" windowHeight="19640" xr2:uid="{66672D74-EA06-A742-905E-304335DC7149}"/>
  </bookViews>
  <sheets>
    <sheet name="Sheet1" sheetId="1" r:id="rId1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5" i="1" l="1"/>
  <c r="B14" i="1"/>
  <c r="B13" i="1"/>
  <c r="I26" i="1"/>
  <c r="J26" i="1"/>
  <c r="E40" i="1"/>
  <c r="D40" i="1"/>
  <c r="C40" i="1"/>
  <c r="B40" i="1"/>
  <c r="A40" i="1"/>
  <c r="J38" i="1"/>
  <c r="E38" i="1"/>
  <c r="D38" i="1"/>
  <c r="C38" i="1"/>
  <c r="B38" i="1"/>
  <c r="A38" i="1"/>
  <c r="D20" i="1" l="1"/>
  <c r="J25" i="1" s="1"/>
  <c r="C20" i="1"/>
  <c r="I25" i="1" s="1"/>
  <c r="C18" i="1"/>
  <c r="I24" i="1" s="1"/>
  <c r="D18" i="1"/>
  <c r="J24" i="1" s="1"/>
  <c r="B10" i="1"/>
  <c r="C7" i="1"/>
  <c r="C10" i="1" s="1"/>
  <c r="B8" i="1"/>
  <c r="B9" i="1" s="1"/>
  <c r="B4" i="1"/>
  <c r="C4" i="1"/>
  <c r="C8" i="1" l="1"/>
  <c r="C3" i="1"/>
  <c r="C2" i="1"/>
  <c r="D2" i="1" l="1"/>
  <c r="D3" i="1"/>
  <c r="C9" i="1"/>
  <c r="D8" i="1"/>
  <c r="E2" i="1" l="1"/>
  <c r="D7" i="1"/>
  <c r="D10" i="1" s="1"/>
  <c r="D9" i="1"/>
  <c r="E8" i="1" l="1"/>
  <c r="B19" i="1"/>
  <c r="B17" i="1"/>
  <c r="G19" i="1" l="1"/>
  <c r="F19" i="1"/>
  <c r="F20" i="1" s="1"/>
  <c r="L25" i="1" s="1"/>
  <c r="E19" i="1"/>
  <c r="G17" i="1"/>
  <c r="E17" i="1"/>
  <c r="E18" i="1" s="1"/>
  <c r="K24" i="1" s="1"/>
  <c r="F17" i="1"/>
  <c r="F18" i="1" s="1"/>
  <c r="L24" i="1" s="1"/>
  <c r="G18" i="1"/>
  <c r="M24" i="1" s="1"/>
  <c r="G20" i="1"/>
  <c r="M25" i="1" s="1"/>
  <c r="E20" i="1"/>
  <c r="K25" i="1" s="1"/>
  <c r="E9" i="1"/>
  <c r="E7" i="1"/>
  <c r="E10" i="1" s="1"/>
  <c r="N24" i="1"/>
  <c r="K26" i="1" l="1"/>
  <c r="M26" i="1"/>
  <c r="L26" i="1"/>
  <c r="C25" i="1"/>
  <c r="B25" i="1"/>
  <c r="A25" i="1"/>
  <c r="E25" i="1"/>
  <c r="D25" i="1"/>
  <c r="B24" i="1"/>
  <c r="A24" i="1"/>
  <c r="D24" i="1"/>
  <c r="C24" i="1"/>
  <c r="E24" i="1"/>
  <c r="F8" i="1"/>
  <c r="B26" i="1" l="1"/>
  <c r="D26" i="1"/>
  <c r="C26" i="1"/>
  <c r="E26" i="1"/>
  <c r="A26" i="1"/>
  <c r="E36" i="1" s="1"/>
  <c r="E37" i="1" s="1"/>
  <c r="F7" i="1"/>
  <c r="F10" i="1" s="1"/>
  <c r="F9" i="1"/>
  <c r="A27" i="1" l="1"/>
  <c r="D35" i="1" s="1"/>
  <c r="B27" i="1"/>
  <c r="C27" i="1"/>
  <c r="D27" i="1"/>
  <c r="G8" i="1"/>
  <c r="A28" i="1" l="1"/>
  <c r="C34" i="1" s="1"/>
  <c r="B28" i="1"/>
  <c r="C28" i="1"/>
  <c r="G7" i="1"/>
  <c r="G10" i="1" s="1"/>
  <c r="G9" i="1"/>
  <c r="A29" i="1" l="1"/>
  <c r="B33" i="1" s="1"/>
  <c r="B29" i="1"/>
  <c r="A30" i="1" l="1"/>
  <c r="A33" i="1" s="1"/>
  <c r="B34" i="1" s="1"/>
  <c r="C35" i="1" l="1"/>
  <c r="A36" i="1"/>
  <c r="A34" i="1"/>
  <c r="B35" i="1" s="1"/>
  <c r="C36" i="1" l="1"/>
  <c r="D36" i="1"/>
  <c r="D37" i="1" s="1"/>
  <c r="A37" i="1"/>
  <c r="A35" i="1"/>
  <c r="B36" i="1" s="1"/>
  <c r="C37" i="1" l="1"/>
  <c r="B37" i="1"/>
</calcChain>
</file>

<file path=xl/sharedStrings.xml><?xml version="1.0" encoding="utf-8"?>
<sst xmlns="http://schemas.openxmlformats.org/spreadsheetml/2006/main" count="32" uniqueCount="27">
  <si>
    <t>u(x)</t>
  </si>
  <si>
    <t>v(x)</t>
  </si>
  <si>
    <t>w(x)</t>
  </si>
  <si>
    <t>x^4</t>
  </si>
  <si>
    <t>x^3</t>
  </si>
  <si>
    <t>x^2</t>
  </si>
  <si>
    <t>x^0</t>
  </si>
  <si>
    <t>x^1</t>
  </si>
  <si>
    <t>u</t>
  </si>
  <si>
    <t>v</t>
  </si>
  <si>
    <t>w</t>
  </si>
  <si>
    <t>Len</t>
  </si>
  <si>
    <t>Binary</t>
  </si>
  <si>
    <t>n</t>
  </si>
  <si>
    <t>R</t>
  </si>
  <si>
    <t>Q</t>
  </si>
  <si>
    <t>Q-Table</t>
  </si>
  <si>
    <t>R-Table</t>
  </si>
  <si>
    <t>q</t>
  </si>
  <si>
    <t>p</t>
  </si>
  <si>
    <t>r</t>
  </si>
  <si>
    <t>k</t>
  </si>
  <si>
    <t>000000110110</t>
  </si>
  <si>
    <t>0000001101101010</t>
  </si>
  <si>
    <t>00000010</t>
  </si>
  <si>
    <t>000000110111000011100000</t>
  </si>
  <si>
    <t>00000011011100001110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</si>
</sst>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49" fontId="0" fillId="0" borderId="0" xfId="0" quotePrefix="1" applyNumberFormat="1"/>
    <xf numFmtId="0" fontId="0" fillId="5" borderId="0" xfId="0" quotePrefix="1" applyFill="1"/>
    <xf numFmtId="49" fontId="0" fillId="5" borderId="0" xfId="0" quotePrefix="1" applyNumberFormat="1" applyFill="1"/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DD29-BB6C-CE47-B48E-9E8D00BB5061}">
  <sheetPr codeName="Sheet1"/>
  <dimension ref="A1:N40"/>
  <sheetViews>
    <sheetView tabSelected="1" topLeftCell="A11" workbookViewId="0">
      <selection activeCell="B27" sqref="B27"/>
    </sheetView>
  </sheetViews>
  <sheetFormatPr baseColWidth="10" defaultRowHeight="16" x14ac:dyDescent="0.2"/>
  <cols>
    <col min="1" max="1" width="25.6640625" customWidth="1"/>
    <col min="2" max="2" width="38.6640625" customWidth="1"/>
    <col min="3" max="3" width="29.83203125" customWidth="1"/>
    <col min="4" max="4" width="28.6640625" customWidth="1"/>
    <col min="5" max="5" width="26.1640625" customWidth="1"/>
    <col min="9" max="9" width="28.5" customWidth="1"/>
  </cols>
  <sheetData>
    <row r="1" spans="1:7" x14ac:dyDescent="0.2">
      <c r="C1" t="s">
        <v>12</v>
      </c>
      <c r="D1" t="s">
        <v>11</v>
      </c>
      <c r="E1" t="s">
        <v>13</v>
      </c>
    </row>
    <row r="2" spans="1:7" x14ac:dyDescent="0.2">
      <c r="A2" t="s">
        <v>8</v>
      </c>
      <c r="B2">
        <v>522</v>
      </c>
      <c r="C2" t="str">
        <f>DECTOBIN(B2)</f>
        <v>1000001010</v>
      </c>
      <c r="D2">
        <f>LEN(C2)</f>
        <v>10</v>
      </c>
      <c r="E2">
        <f>MAX(D2,D3)</f>
        <v>10</v>
      </c>
    </row>
    <row r="3" spans="1:7" x14ac:dyDescent="0.2">
      <c r="A3" t="s">
        <v>9</v>
      </c>
      <c r="B3">
        <v>432</v>
      </c>
      <c r="C3" t="str">
        <f>DECTOBIN(B3)</f>
        <v>110110000</v>
      </c>
      <c r="D3">
        <f>LEN(C3)</f>
        <v>9</v>
      </c>
    </row>
    <row r="4" spans="1:7" x14ac:dyDescent="0.2">
      <c r="A4" t="s">
        <v>10</v>
      </c>
      <c r="B4">
        <f>B2*B3</f>
        <v>225504</v>
      </c>
      <c r="C4" t="str">
        <f>DECTOBIN(B4)</f>
        <v>110111000011100000</v>
      </c>
    </row>
    <row r="6" spans="1:7" x14ac:dyDescent="0.2">
      <c r="A6" t="s">
        <v>21</v>
      </c>
      <c r="B6">
        <v>0</v>
      </c>
      <c r="C6">
        <v>1</v>
      </c>
      <c r="D6">
        <v>2</v>
      </c>
      <c r="E6">
        <v>3</v>
      </c>
      <c r="F6">
        <v>4</v>
      </c>
      <c r="G6">
        <v>5</v>
      </c>
    </row>
    <row r="7" spans="1:7" x14ac:dyDescent="0.2">
      <c r="A7" t="s">
        <v>14</v>
      </c>
      <c r="B7">
        <v>1</v>
      </c>
      <c r="C7">
        <f>B7</f>
        <v>1</v>
      </c>
      <c r="D7">
        <f>FLOOR(SQRT(D8), 1)</f>
        <v>1</v>
      </c>
      <c r="E7">
        <f>FLOOR(SQRT(E8), 1)</f>
        <v>2</v>
      </c>
      <c r="F7">
        <f>FLOOR(SQRT(F8), 1)</f>
        <v>2</v>
      </c>
      <c r="G7">
        <f>FLOOR(SQRT(G8), 1)</f>
        <v>2</v>
      </c>
    </row>
    <row r="8" spans="1:7" x14ac:dyDescent="0.2">
      <c r="A8" t="s">
        <v>15</v>
      </c>
      <c r="B8">
        <f>B7*2</f>
        <v>2</v>
      </c>
      <c r="C8">
        <f>B8</f>
        <v>2</v>
      </c>
      <c r="D8">
        <f>C8+C7</f>
        <v>3</v>
      </c>
      <c r="E8">
        <f>D8+D7</f>
        <v>4</v>
      </c>
      <c r="F8">
        <f>E8+E7</f>
        <v>6</v>
      </c>
      <c r="G8">
        <f>F8+F7</f>
        <v>8</v>
      </c>
    </row>
    <row r="9" spans="1:7" x14ac:dyDescent="0.2">
      <c r="A9" t="s">
        <v>16</v>
      </c>
      <c r="B9">
        <f t="shared" ref="B9:G9" si="0">2^B8</f>
        <v>4</v>
      </c>
      <c r="C9">
        <f t="shared" si="0"/>
        <v>4</v>
      </c>
      <c r="D9">
        <f t="shared" si="0"/>
        <v>8</v>
      </c>
      <c r="E9">
        <f t="shared" si="0"/>
        <v>16</v>
      </c>
      <c r="F9">
        <f t="shared" si="0"/>
        <v>64</v>
      </c>
      <c r="G9">
        <f t="shared" si="0"/>
        <v>256</v>
      </c>
    </row>
    <row r="10" spans="1:7" x14ac:dyDescent="0.2">
      <c r="A10" t="s">
        <v>17</v>
      </c>
      <c r="B10">
        <f t="shared" ref="B10:G10" si="1">2^B7</f>
        <v>2</v>
      </c>
      <c r="C10">
        <f t="shared" si="1"/>
        <v>2</v>
      </c>
      <c r="D10">
        <f t="shared" si="1"/>
        <v>2</v>
      </c>
      <c r="E10">
        <f t="shared" si="1"/>
        <v>4</v>
      </c>
      <c r="F10">
        <f t="shared" si="1"/>
        <v>4</v>
      </c>
      <c r="G10">
        <f t="shared" si="1"/>
        <v>4</v>
      </c>
    </row>
    <row r="12" spans="1:7" x14ac:dyDescent="0.2">
      <c r="A12" t="s">
        <v>21</v>
      </c>
      <c r="B12">
        <v>2</v>
      </c>
    </row>
    <row r="13" spans="1:7" x14ac:dyDescent="0.2">
      <c r="A13" t="s">
        <v>19</v>
      </c>
      <c r="B13">
        <f>D9+C9</f>
        <v>12</v>
      </c>
    </row>
    <row r="14" spans="1:7" x14ac:dyDescent="0.2">
      <c r="A14" t="s">
        <v>18</v>
      </c>
      <c r="B14">
        <f>D9</f>
        <v>8</v>
      </c>
    </row>
    <row r="15" spans="1:7" x14ac:dyDescent="0.2">
      <c r="A15" t="s">
        <v>20</v>
      </c>
      <c r="B15">
        <f>D10</f>
        <v>2</v>
      </c>
    </row>
    <row r="17" spans="1:14" x14ac:dyDescent="0.2">
      <c r="A17" t="s">
        <v>8</v>
      </c>
      <c r="B17" t="str">
        <f>DECTOBIN(B2, B13)</f>
        <v>001000001010</v>
      </c>
      <c r="E17" t="str">
        <f>MID($B$17,1,4)</f>
        <v>0010</v>
      </c>
      <c r="F17" t="str">
        <f>MID($B$17, 5,4)</f>
        <v>0000</v>
      </c>
      <c r="G17" t="str">
        <f>MID($B$17, 9,4)</f>
        <v>1010</v>
      </c>
    </row>
    <row r="18" spans="1:14" x14ac:dyDescent="0.2">
      <c r="C18">
        <f>BIN2DEC(C17)</f>
        <v>0</v>
      </c>
      <c r="D18">
        <f>BIN2DEC(D17)</f>
        <v>0</v>
      </c>
      <c r="E18">
        <f>BIN2DEC(E17)</f>
        <v>2</v>
      </c>
      <c r="F18">
        <f>BIN2DEC(F17)</f>
        <v>0</v>
      </c>
      <c r="G18">
        <f>BIN2DEC(G17)</f>
        <v>10</v>
      </c>
    </row>
    <row r="19" spans="1:14" x14ac:dyDescent="0.2">
      <c r="A19" t="s">
        <v>9</v>
      </c>
      <c r="B19" t="str">
        <f>DECTOBIN(B3, B13)</f>
        <v>000110110000</v>
      </c>
      <c r="E19" t="str">
        <f>MID($B$19, 1,4)</f>
        <v>0001</v>
      </c>
      <c r="F19" t="str">
        <f>MID($B$19, 5,4)</f>
        <v>1011</v>
      </c>
      <c r="G19" t="str">
        <f>MID($B$19, 9,4)</f>
        <v>0000</v>
      </c>
    </row>
    <row r="20" spans="1:14" x14ac:dyDescent="0.2">
      <c r="C20">
        <f>BIN2DEC(C19)</f>
        <v>0</v>
      </c>
      <c r="D20">
        <f>BIN2DEC(D19)</f>
        <v>0</v>
      </c>
      <c r="E20">
        <f>BIN2DEC(E19)</f>
        <v>1</v>
      </c>
      <c r="F20">
        <f>BIN2DEC(F19)</f>
        <v>11</v>
      </c>
      <c r="G20">
        <f>BIN2DEC(G19)</f>
        <v>0</v>
      </c>
    </row>
    <row r="23" spans="1:14" x14ac:dyDescent="0.2">
      <c r="A23">
        <v>0</v>
      </c>
      <c r="B23">
        <v>1</v>
      </c>
      <c r="C23">
        <v>2</v>
      </c>
      <c r="D23">
        <v>3</v>
      </c>
      <c r="E23">
        <v>4</v>
      </c>
      <c r="I23" t="s">
        <v>3</v>
      </c>
      <c r="J23" t="s">
        <v>4</v>
      </c>
      <c r="K23" t="s">
        <v>5</v>
      </c>
      <c r="L23" t="s">
        <v>7</v>
      </c>
      <c r="M23" t="s">
        <v>6</v>
      </c>
    </row>
    <row r="24" spans="1:14" x14ac:dyDescent="0.2">
      <c r="A24" s="2">
        <f>$I$24*A23^4+$J$24*A23^3+$K$24*A23^2+$L$24*A23+$M$24</f>
        <v>10</v>
      </c>
      <c r="B24" s="2">
        <f>$I$24*B23^4+$J$24*B23^3+$K$24*B23^2+$L$24*B23+$M$24</f>
        <v>12</v>
      </c>
      <c r="C24" s="2">
        <f>$I$24*C23^4+$J$24*C23^3+$K$24*C23^2+$L$24*C23+$M$24</f>
        <v>18</v>
      </c>
      <c r="D24" s="2">
        <f>$I$24*D23^4+$J$24*D23^3+$K$24*D23^2+$L$24*D23+$M$24</f>
        <v>28</v>
      </c>
      <c r="E24" s="2">
        <f>$I$24*E23^4+$J$24*E23^3+$K$24*E23^2+$L$24*E23+$M$24</f>
        <v>42</v>
      </c>
      <c r="H24" t="s">
        <v>0</v>
      </c>
      <c r="I24" s="3">
        <f>C18</f>
        <v>0</v>
      </c>
      <c r="J24" s="3">
        <f>D18</f>
        <v>0</v>
      </c>
      <c r="K24" s="3">
        <f>E18</f>
        <v>2</v>
      </c>
      <c r="L24" s="3">
        <f>F18</f>
        <v>0</v>
      </c>
      <c r="M24" s="3">
        <f>G18</f>
        <v>10</v>
      </c>
      <c r="N24" t="str">
        <f>DECTOBIN(M24)</f>
        <v>1010</v>
      </c>
    </row>
    <row r="25" spans="1:14" x14ac:dyDescent="0.2">
      <c r="A25" s="2">
        <f>$I$25*A23^4+$J$25*A23^3+$K$25*A23^2+$L$25*A23+$M$25</f>
        <v>0</v>
      </c>
      <c r="B25" s="2">
        <f>$I$25*B23^4+$J$25*B23^3+$K$25*B23^2+$L$25*B23+$M$25</f>
        <v>12</v>
      </c>
      <c r="C25" s="2">
        <f>$I$25*C23^4+$J$25*C23^3+$K$25*C23^2+$L$25*C23+$M$25</f>
        <v>26</v>
      </c>
      <c r="D25" s="2">
        <f>$I$25*D23^4+$J$25*D23^3+$K$25*D23^2+$L$25*D23+$M$25</f>
        <v>42</v>
      </c>
      <c r="E25" s="2">
        <f>$I$25*E23^4+$J$25*E23^3+$K$25*E23^2+$L$25*E23+$M$25</f>
        <v>60</v>
      </c>
      <c r="H25" t="s">
        <v>1</v>
      </c>
      <c r="I25" s="3">
        <f>C20</f>
        <v>0</v>
      </c>
      <c r="J25" s="3">
        <f>D20</f>
        <v>0</v>
      </c>
      <c r="K25" s="3">
        <f>E20</f>
        <v>1</v>
      </c>
      <c r="L25" s="3">
        <f>F20</f>
        <v>11</v>
      </c>
      <c r="M25" s="3">
        <f>G20</f>
        <v>0</v>
      </c>
    </row>
    <row r="26" spans="1:14" x14ac:dyDescent="0.2">
      <c r="A26">
        <f>A24*A25</f>
        <v>0</v>
      </c>
      <c r="B26">
        <f>B24*B25</f>
        <v>144</v>
      </c>
      <c r="C26">
        <f>C24*C25</f>
        <v>468</v>
      </c>
      <c r="D26">
        <f>D24*D25</f>
        <v>1176</v>
      </c>
      <c r="E26" s="1">
        <f>E24*E25</f>
        <v>2520</v>
      </c>
      <c r="H26" t="s">
        <v>2</v>
      </c>
      <c r="I26">
        <f>I24*I25</f>
        <v>0</v>
      </c>
      <c r="J26">
        <f>J24*J25</f>
        <v>0</v>
      </c>
      <c r="K26">
        <f>K24*K25</f>
        <v>2</v>
      </c>
      <c r="L26">
        <f>L24*L25</f>
        <v>0</v>
      </c>
      <c r="M26">
        <f>M24*M25</f>
        <v>0</v>
      </c>
    </row>
    <row r="27" spans="1:14" x14ac:dyDescent="0.2">
      <c r="A27">
        <f>B26-A26</f>
        <v>144</v>
      </c>
      <c r="B27">
        <f>C26-B26</f>
        <v>324</v>
      </c>
      <c r="C27">
        <f>D26-C26</f>
        <v>708</v>
      </c>
      <c r="D27" s="1">
        <f>E26-D26</f>
        <v>1344</v>
      </c>
    </row>
    <row r="28" spans="1:14" x14ac:dyDescent="0.2">
      <c r="A28">
        <f>(B27-A27)/2</f>
        <v>90</v>
      </c>
      <c r="B28">
        <f>(C27-B27)/2</f>
        <v>192</v>
      </c>
      <c r="C28" s="1">
        <f>(D27-C27)/2</f>
        <v>318</v>
      </c>
    </row>
    <row r="29" spans="1:14" x14ac:dyDescent="0.2">
      <c r="A29">
        <f>(B28-A28)/3</f>
        <v>34</v>
      </c>
      <c r="B29" s="1">
        <f>(C28-B28)/3</f>
        <v>42</v>
      </c>
    </row>
    <row r="30" spans="1:14" x14ac:dyDescent="0.2">
      <c r="A30" s="1">
        <f>(B29-A29)/4</f>
        <v>2</v>
      </c>
    </row>
    <row r="33" spans="1:10" x14ac:dyDescent="0.2">
      <c r="A33">
        <f>A30</f>
        <v>2</v>
      </c>
      <c r="B33">
        <f>A29</f>
        <v>34</v>
      </c>
    </row>
    <row r="34" spans="1:10" x14ac:dyDescent="0.2">
      <c r="A34">
        <f>A33</f>
        <v>2</v>
      </c>
      <c r="B34">
        <f>B33-3*A33</f>
        <v>28</v>
      </c>
      <c r="C34">
        <f>A28</f>
        <v>90</v>
      </c>
    </row>
    <row r="35" spans="1:10" x14ac:dyDescent="0.2">
      <c r="A35">
        <f>A34</f>
        <v>2</v>
      </c>
      <c r="B35">
        <f>B34-2*A34</f>
        <v>24</v>
      </c>
      <c r="C35">
        <f>C34-2*B34</f>
        <v>34</v>
      </c>
      <c r="D35">
        <f>A27</f>
        <v>144</v>
      </c>
    </row>
    <row r="36" spans="1:10" x14ac:dyDescent="0.2">
      <c r="A36">
        <f>A33</f>
        <v>2</v>
      </c>
      <c r="B36">
        <f>B35-A35</f>
        <v>22</v>
      </c>
      <c r="C36">
        <f>C35-B35</f>
        <v>10</v>
      </c>
      <c r="D36">
        <f>D35-C35</f>
        <v>110</v>
      </c>
      <c r="E36">
        <f>A26</f>
        <v>0</v>
      </c>
    </row>
    <row r="37" spans="1:10" x14ac:dyDescent="0.2">
      <c r="A37" s="1">
        <f>A36</f>
        <v>2</v>
      </c>
      <c r="B37" s="1">
        <f>B36</f>
        <v>22</v>
      </c>
      <c r="C37" s="1">
        <f>C36</f>
        <v>10</v>
      </c>
      <c r="D37" s="1">
        <f>D36</f>
        <v>110</v>
      </c>
      <c r="E37" s="1">
        <f>E36</f>
        <v>0</v>
      </c>
    </row>
    <row r="38" spans="1:10" x14ac:dyDescent="0.2">
      <c r="A38" s="1" t="str">
        <f>DECTOBIN(A36,B14)</f>
        <v>00000010</v>
      </c>
      <c r="B38" s="1" t="str">
        <f>DECTOBIN(B36,B14)</f>
        <v>00010110</v>
      </c>
      <c r="C38" s="1" t="str">
        <f>DECTOBIN(C36,B14)</f>
        <v>00001010</v>
      </c>
      <c r="D38" s="1" t="str">
        <f>DECTOBIN(D36,B14)</f>
        <v>01101110</v>
      </c>
      <c r="E38" s="1" t="str">
        <f>DECTOBIN(E37,B14)</f>
        <v>00000000</v>
      </c>
      <c r="H38" t="s">
        <v>10</v>
      </c>
      <c r="I38" s="4" t="s">
        <v>25</v>
      </c>
      <c r="J38" s="8">
        <f>BINTODEC(I38)</f>
        <v>225504</v>
      </c>
    </row>
    <row r="39" spans="1:10" x14ac:dyDescent="0.2">
      <c r="A39" s="5" t="s">
        <v>24</v>
      </c>
      <c r="B39" s="5" t="s">
        <v>22</v>
      </c>
      <c r="C39" s="5" t="s">
        <v>23</v>
      </c>
      <c r="D39" s="6" t="s">
        <v>26</v>
      </c>
      <c r="E39" s="6" t="s">
        <v>25</v>
      </c>
    </row>
    <row r="40" spans="1:10" x14ac:dyDescent="0.2">
      <c r="A40" s="7">
        <f>BINTODEC(A39)</f>
        <v>2</v>
      </c>
      <c r="B40" s="7">
        <f>BINTODEC(B39)</f>
        <v>54</v>
      </c>
      <c r="C40" s="7">
        <f>BINTODEC(C39)</f>
        <v>874</v>
      </c>
      <c r="D40" s="7">
        <f>BINTODEC(D39)</f>
        <v>14094</v>
      </c>
      <c r="E40" s="7">
        <f>BINTODEC(E39)</f>
        <v>225504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Mahbub Murshed</dc:creator>
  <cp:lastModifiedBy>Mahbub Murshed</cp:lastModifiedBy>
  <dcterms:created xsi:type="dcterms:W3CDTF">2019-06-08T00:49:40Z</dcterms:created>
  <dcterms:modified xsi:type="dcterms:W3CDTF">2019-06-08T08:59:13Z</dcterms:modified>
</cp:coreProperties>
</file>